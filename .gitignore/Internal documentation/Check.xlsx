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mmileti\Documents\ARIADNE\Endenergiebedarfe R Code_final\Documentation\"/>
    </mc:Choice>
  </mc:AlternateContent>
  <xr:revisionPtr revIDLastSave="0" documentId="13_ncr:1_{8B59402A-411D-44B1-A79A-61C63596C812}" xr6:coauthVersionLast="47" xr6:coauthVersionMax="47" xr10:uidLastSave="{00000000-0000-0000-0000-000000000000}"/>
  <bookViews>
    <workbookView xWindow="43080" yWindow="6360" windowWidth="29040" windowHeight="17520" activeTab="3" xr2:uid="{98633D42-80EE-4555-BBB1-32EF4F00419A}"/>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4" l="1"/>
  <c r="G15" i="4"/>
  <c r="M15" i="4"/>
  <c r="E15" i="4"/>
  <c r="P26" i="1"/>
  <c r="H26" i="1"/>
  <c r="N26" i="1"/>
  <c r="F26" i="1"/>
  <c r="P17" i="1"/>
  <c r="N17" i="1"/>
  <c r="H17" i="1"/>
  <c r="F17" i="1"/>
</calcChain>
</file>

<file path=xl/sharedStrings.xml><?xml version="1.0" encoding="utf-8"?>
<sst xmlns="http://schemas.openxmlformats.org/spreadsheetml/2006/main" count="82" uniqueCount="58">
  <si>
    <t>Retrofit imputation</t>
  </si>
  <si>
    <t>Missing imputation</t>
  </si>
  <si>
    <t>Mean final enrgy demand in ARIADNE Wave 1</t>
  </si>
  <si>
    <t>Mean final enrgy demand in ARIADNE Wave 2</t>
  </si>
  <si>
    <t>This is not weighted mean - is this actually correct to look at?</t>
  </si>
  <si>
    <t>Weighted Mean final enrgy demand in ARIADNE Wave 1</t>
  </si>
  <si>
    <t>Using weight1 as weights</t>
  </si>
  <si>
    <t>Weighted Mean final enrgy demand in ARIADNE Wave 2</t>
  </si>
  <si>
    <t>Old U-values</t>
  </si>
  <si>
    <t>New U-values</t>
  </si>
  <si>
    <t>Name in German</t>
  </si>
  <si>
    <t>Where Found</t>
  </si>
  <si>
    <t>Type</t>
  </si>
  <si>
    <t>Data Basis</t>
  </si>
  <si>
    <t>Includes</t>
  </si>
  <si>
    <t>Excludes</t>
  </si>
  <si>
    <t>Typical Use</t>
  </si>
  <si>
    <t>Final energy demand</t>
  </si>
  <si>
    <t>Endenergiebedarf</t>
  </si>
  <si>
    <t>Theoretical</t>
  </si>
  <si>
    <t>Standardized calculation</t>
  </si>
  <si>
    <t>Heating, hot water, losses</t>
  </si>
  <si>
    <t>Occupant behavior, appliances, lighting</t>
  </si>
  <si>
    <t>Regulation, new buildings</t>
  </si>
  <si>
    <t>Final energy consumption</t>
  </si>
  <si>
    <t>Endenergieverbrauch</t>
  </si>
  <si>
    <t>Measured</t>
  </si>
  <si>
    <t>Heating, hot water</t>
  </si>
  <si>
    <t>Standardization, future estimates</t>
  </si>
  <si>
    <t>Real costs, user comparison</t>
  </si>
  <si>
    <t>Primary energy demand</t>
  </si>
  <si>
    <t>Primärenergiebedarf</t>
  </si>
  <si>
    <t>Based on final demand + source factors</t>
  </si>
  <si>
    <t>Above + generation/transmission losses</t>
  </si>
  <si>
    <t>–</t>
  </si>
  <si>
    <t>Climate goals, regulation</t>
  </si>
  <si>
    <t>Bedarfsausweis</t>
  </si>
  <si>
    <t>Verbrauchsausweis</t>
  </si>
  <si>
    <t>Bedarfsausweis -  one of the two official types of energy performance certificates (Energieausweise) used in Germany</t>
  </si>
  <si>
    <t>The Bedarfsausweis is an energy performance certificate that provides a theoretical estimate of how much energy a building should require under standardized conditions. It calculates the building’s energy demand for space heating, hot water, distribution losses. Because the assessment is based purely on the building's physical characteristics, such as insulation, windows, and heating systems it is independent of occupant behavior. This makes it a reliable basis for comparing different buildings in terms of energy efficiency, as it reflects the technical quality of the structure, not how energy is actually consumed.</t>
  </si>
  <si>
    <t>Description</t>
  </si>
  <si>
    <t>The Verbrauchsausweis is an energy performance certificate that reports the actual energy consumption of a building, based on metered data from the past three years. It reflects the energy used for space heating and hot water, as recorded in utility bills. Unlike the Bedarfsausweis, the Verbrauchsausweis takes into account occupant behavior, such as individual heating habits, periods of vacancy, and lifestyle factors, as well as fluctuations in weather conditions. While this makes it less suitable for comparing the technical efficiency of buildings, it offers a realistic picture of actual energy use.</t>
  </si>
  <si>
    <t>Actual meter readings (average of 3 years)</t>
  </si>
  <si>
    <t>* All energy values (consumption, demand) are expressed per m² heated usable area, not total gross area.</t>
  </si>
  <si>
    <t xml:space="preserve">German values of FED: </t>
  </si>
  <si>
    <t>ebj</t>
  </si>
  <si>
    <t xml:space="preserve">From RWI-GEO-RED dataset (Boelmann et al., 2019): </t>
  </si>
  <si>
    <t>Note</t>
  </si>
  <si>
    <t>Source</t>
  </si>
  <si>
    <t>203 kWh/m2a</t>
  </si>
  <si>
    <t>Lisa Taruttis, Christoph Weber, Estimating the impact of energy efficiency on housing prices in Germany: Does regional disparity matter?, Energy Economics, Volume 105, 2022, 105750, ISSN 0140-9883, https://doi.org/10.1016/j.eneco.2021.105750.</t>
  </si>
  <si>
    <t>certified by requirement, mean energy demand</t>
  </si>
  <si>
    <t>ebj &lt;= 0 &amp; ebj&gt;= 1000</t>
  </si>
  <si>
    <t>Flagged observations: 32</t>
  </si>
  <si>
    <t>Drop if ist5&lt;50, there was mistake with ist4 (allowed for missing)</t>
  </si>
  <si>
    <t>new</t>
  </si>
  <si>
    <t xml:space="preserve">This is not weighted mean </t>
  </si>
  <si>
    <t>With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</si>
</sst>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sz val="10"/>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6"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9">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2" xfId="0" applyBorder="1"/>
    <xf numFmtId="0" fontId="0" fillId="0" borderId="3" xfId="0" applyBorder="1"/>
    <xf numFmtId="0" fontId="0" fillId="0" borderId="0" xfId="0" applyBorder="1"/>
    <xf numFmtId="0" fontId="0" fillId="0" borderId="4" xfId="0" applyBorder="1"/>
    <xf numFmtId="0" fontId="0" fillId="0" borderId="6" xfId="0" applyBorder="1"/>
    <xf numFmtId="0" fontId="0" fillId="0" borderId="5" xfId="0" applyBorder="1"/>
    <xf numFmtId="0" fontId="0" fillId="2" borderId="0" xfId="0" applyFill="1" applyAlignment="1">
      <alignment horizontal="center"/>
    </xf>
    <xf numFmtId="0" fontId="0" fillId="3" borderId="0" xfId="0" applyFill="1" applyAlignment="1">
      <alignment horizontal="center"/>
    </xf>
    <xf numFmtId="0" fontId="0" fillId="4" borderId="1" xfId="0" applyFill="1" applyBorder="1"/>
    <xf numFmtId="0" fontId="0" fillId="0" borderId="7" xfId="0" applyBorder="1" applyAlignment="1">
      <alignment horizontal="center"/>
    </xf>
    <xf numFmtId="0" fontId="0" fillId="5" borderId="1" xfId="0" applyFill="1" applyBorder="1"/>
    <xf numFmtId="0" fontId="1"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0" fillId="0" borderId="1" xfId="0" applyFont="1" applyBorder="1" applyAlignment="1">
      <alignment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vertical="center" wrapText="1"/>
    </xf>
    <xf numFmtId="0" fontId="1" fillId="6" borderId="3" xfId="0" applyFont="1" applyFill="1" applyBorder="1" applyAlignment="1">
      <alignment horizontal="center" vertical="center" wrapText="1"/>
    </xf>
    <xf numFmtId="0" fontId="1" fillId="7" borderId="2" xfId="0" applyFont="1" applyFill="1" applyBorder="1" applyAlignment="1">
      <alignment vertical="center" wrapText="1"/>
    </xf>
    <xf numFmtId="0" fontId="1" fillId="0" borderId="5" xfId="0" applyFont="1" applyBorder="1" applyAlignment="1">
      <alignment horizontal="center" vertical="center" wrapText="1"/>
    </xf>
    <xf numFmtId="0" fontId="3" fillId="0" borderId="1" xfId="0" applyFont="1" applyBorder="1"/>
    <xf numFmtId="0" fontId="3" fillId="0" borderId="1" xfId="0" applyFont="1" applyBorder="1" applyAlignment="1">
      <alignment horizontal="center"/>
    </xf>
    <xf numFmtId="0" fontId="3" fillId="0" borderId="1" xfId="0" applyFont="1" applyBorder="1" applyAlignment="1">
      <alignment horizontal="left" wrapText="1"/>
    </xf>
    <xf numFmtId="0" fontId="3" fillId="0" borderId="8" xfId="0" applyFont="1" applyBorder="1" applyAlignment="1">
      <alignment horizontal="left"/>
    </xf>
    <xf numFmtId="0" fontId="3" fillId="0" borderId="9" xfId="0" applyFont="1" applyBorder="1" applyAlignment="1">
      <alignment horizontal="left"/>
    </xf>
    <xf numFmtId="0" fontId="3" fillId="0" borderId="3" xfId="0" applyFont="1" applyBorder="1" applyAlignment="1">
      <alignment horizontal="left"/>
    </xf>
    <xf numFmtId="0" fontId="3" fillId="0" borderId="8" xfId="0" applyFont="1" applyBorder="1" applyAlignment="1">
      <alignment horizontal="center"/>
    </xf>
    <xf numFmtId="0" fontId="3" fillId="0" borderId="3" xfId="0" applyFont="1" applyBorder="1" applyAlignment="1">
      <alignment horizontal="center"/>
    </xf>
    <xf numFmtId="0" fontId="3" fillId="0" borderId="1" xfId="0" applyFont="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8" xfId="0" applyFont="1" applyBorder="1" applyAlignment="1">
      <alignment horizontal="left" vertical="center" wrapText="1"/>
    </xf>
    <xf numFmtId="0" fontId="3"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12</xdr:col>
      <xdr:colOff>495300</xdr:colOff>
      <xdr:row>35</xdr:row>
      <xdr:rowOff>104775</xdr:rowOff>
    </xdr:to>
    <xdr:pic>
      <xdr:nvPicPr>
        <xdr:cNvPr id="3" name="Picture 2">
          <a:extLst>
            <a:ext uri="{FF2B5EF4-FFF2-40B4-BE49-F238E27FC236}">
              <a16:creationId xmlns:a16="http://schemas.microsoft.com/office/drawing/2014/main" id="{85183D03-6CF2-ABE0-6CE2-BDF012EA7F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7700" y="723900"/>
          <a:ext cx="7620000" cy="5715000"/>
        </a:xfrm>
        <a:prstGeom prst="rect">
          <a:avLst/>
        </a:prstGeom>
      </xdr:spPr>
    </xdr:pic>
    <xdr:clientData/>
  </xdr:twoCellAnchor>
  <xdr:twoCellAnchor editAs="oneCell">
    <xdr:from>
      <xdr:col>1</xdr:col>
      <xdr:colOff>0</xdr:colOff>
      <xdr:row>45</xdr:row>
      <xdr:rowOff>0</xdr:rowOff>
    </xdr:from>
    <xdr:to>
      <xdr:col>12</xdr:col>
      <xdr:colOff>495300</xdr:colOff>
      <xdr:row>76</xdr:row>
      <xdr:rowOff>104775</xdr:rowOff>
    </xdr:to>
    <xdr:pic>
      <xdr:nvPicPr>
        <xdr:cNvPr id="5" name="Picture 4">
          <a:extLst>
            <a:ext uri="{FF2B5EF4-FFF2-40B4-BE49-F238E27FC236}">
              <a16:creationId xmlns:a16="http://schemas.microsoft.com/office/drawing/2014/main" id="{916B8F0E-7814-A0E7-4C68-D4A7C53351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47700" y="8143875"/>
          <a:ext cx="7620000" cy="571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4FDF-A508-47F9-8498-3DABEABFC7CB}">
  <dimension ref="B3:P26"/>
  <sheetViews>
    <sheetView topLeftCell="A4" zoomScale="150" zoomScaleNormal="150" workbookViewId="0">
      <selection activeCell="D27" sqref="D27"/>
    </sheetView>
  </sheetViews>
  <sheetFormatPr defaultRowHeight="14.35" x14ac:dyDescent="0.5"/>
  <cols>
    <col min="3" max="3" width="8.9375" customWidth="1"/>
    <col min="7" max="7" width="9.3515625" customWidth="1"/>
    <col min="13" max="13" width="10.9375" customWidth="1"/>
    <col min="14" max="14" width="11.5859375" customWidth="1"/>
  </cols>
  <sheetData>
    <row r="3" spans="2:16" x14ac:dyDescent="0.5">
      <c r="B3" s="29" t="s">
        <v>44</v>
      </c>
      <c r="C3" s="30"/>
      <c r="D3" s="30"/>
      <c r="E3" s="30"/>
      <c r="F3" s="31"/>
      <c r="G3" s="26" t="s">
        <v>45</v>
      </c>
      <c r="H3" s="32" t="s">
        <v>47</v>
      </c>
      <c r="I3" s="33"/>
      <c r="J3" s="27" t="s">
        <v>48</v>
      </c>
      <c r="K3" s="27"/>
      <c r="L3" s="27"/>
      <c r="M3" s="27"/>
      <c r="N3" s="27"/>
      <c r="O3" s="27"/>
      <c r="P3" s="27"/>
    </row>
    <row r="4" spans="2:16" ht="45" customHeight="1" x14ac:dyDescent="0.5">
      <c r="B4" s="35" t="s">
        <v>46</v>
      </c>
      <c r="C4" s="34"/>
      <c r="D4" s="26"/>
      <c r="E4" s="26"/>
      <c r="F4" s="26"/>
      <c r="G4" s="36" t="s">
        <v>49</v>
      </c>
      <c r="H4" s="37" t="s">
        <v>51</v>
      </c>
      <c r="I4" s="38"/>
      <c r="J4" s="28" t="s">
        <v>50</v>
      </c>
      <c r="K4" s="28"/>
      <c r="L4" s="28"/>
      <c r="M4" s="28"/>
      <c r="N4" s="28"/>
      <c r="O4" s="28"/>
      <c r="P4" s="28"/>
    </row>
    <row r="8" spans="2:16" x14ac:dyDescent="0.5">
      <c r="C8" t="s">
        <v>4</v>
      </c>
      <c r="K8" t="s">
        <v>6</v>
      </c>
    </row>
    <row r="10" spans="2:16" x14ac:dyDescent="0.5">
      <c r="C10" s="12" t="s">
        <v>2</v>
      </c>
      <c r="D10" s="12"/>
      <c r="E10" s="12"/>
      <c r="F10" s="12"/>
      <c r="G10" s="12"/>
      <c r="H10" s="12"/>
      <c r="K10" s="13" t="s">
        <v>5</v>
      </c>
      <c r="L10" s="13"/>
      <c r="M10" s="13"/>
      <c r="N10" s="13"/>
      <c r="O10" s="13"/>
      <c r="P10" s="13"/>
    </row>
    <row r="11" spans="2:16" x14ac:dyDescent="0.5">
      <c r="C11" s="8"/>
      <c r="D11" s="10"/>
      <c r="E11" s="3" t="s">
        <v>1</v>
      </c>
      <c r="F11" s="3"/>
      <c r="G11" s="3"/>
      <c r="H11" s="3"/>
      <c r="K11" s="8"/>
      <c r="L11" s="10"/>
      <c r="M11" s="3" t="s">
        <v>1</v>
      </c>
      <c r="N11" s="3"/>
      <c r="O11" s="3"/>
      <c r="P11" s="3"/>
    </row>
    <row r="12" spans="2:16" x14ac:dyDescent="0.5">
      <c r="C12" s="9"/>
      <c r="D12" s="11"/>
      <c r="E12" s="7" t="b">
        <v>1</v>
      </c>
      <c r="F12" s="2" t="b">
        <v>0</v>
      </c>
      <c r="G12" s="7" t="b">
        <v>1</v>
      </c>
      <c r="H12" s="2" t="b">
        <v>0</v>
      </c>
      <c r="K12" s="9"/>
      <c r="L12" s="11"/>
      <c r="M12" s="7" t="b">
        <v>1</v>
      </c>
      <c r="N12" s="2" t="b">
        <v>0</v>
      </c>
      <c r="O12" s="7" t="b">
        <v>1</v>
      </c>
      <c r="P12" s="2" t="b">
        <v>0</v>
      </c>
    </row>
    <row r="13" spans="2:16" x14ac:dyDescent="0.5">
      <c r="C13" s="5" t="s">
        <v>0</v>
      </c>
      <c r="D13" s="6" t="b">
        <v>1</v>
      </c>
      <c r="E13" s="14">
        <v>169.38</v>
      </c>
      <c r="F13" s="14">
        <v>195.9</v>
      </c>
      <c r="G13" s="16">
        <v>162.36000000000001</v>
      </c>
      <c r="H13" s="16">
        <v>187.7</v>
      </c>
      <c r="K13" s="5" t="s">
        <v>0</v>
      </c>
      <c r="L13" s="6" t="b">
        <v>1</v>
      </c>
      <c r="M13" s="14">
        <v>176.07</v>
      </c>
      <c r="N13" s="14">
        <v>223.09</v>
      </c>
      <c r="O13" s="16">
        <v>168.18</v>
      </c>
      <c r="P13" s="16">
        <v>212.97</v>
      </c>
    </row>
    <row r="14" spans="2:16" x14ac:dyDescent="0.5">
      <c r="C14" s="4"/>
      <c r="D14" s="2" t="b">
        <v>0</v>
      </c>
      <c r="E14" s="14">
        <v>203.7</v>
      </c>
      <c r="F14" s="14">
        <v>242</v>
      </c>
      <c r="G14" s="16">
        <v>190.45</v>
      </c>
      <c r="H14" s="16">
        <v>226.1</v>
      </c>
      <c r="K14" s="4"/>
      <c r="L14" s="2" t="b">
        <v>0</v>
      </c>
      <c r="M14" s="14">
        <v>209.09</v>
      </c>
      <c r="N14" s="14">
        <v>274.08</v>
      </c>
      <c r="O14" s="16">
        <v>195.3</v>
      </c>
      <c r="P14" s="16">
        <v>255.32</v>
      </c>
    </row>
    <row r="15" spans="2:16" x14ac:dyDescent="0.5">
      <c r="E15" s="15" t="s">
        <v>8</v>
      </c>
      <c r="F15" s="15"/>
      <c r="G15" s="1" t="s">
        <v>9</v>
      </c>
      <c r="H15" s="1"/>
      <c r="M15" s="15" t="s">
        <v>8</v>
      </c>
      <c r="N15" s="15"/>
      <c r="O15" s="1" t="s">
        <v>9</v>
      </c>
      <c r="P15" s="1"/>
    </row>
    <row r="17" spans="3:16" x14ac:dyDescent="0.5">
      <c r="F17">
        <f>F14-F13</f>
        <v>46.099999999999994</v>
      </c>
      <c r="H17">
        <f t="shared" ref="G17:H17" si="0">H14-H13</f>
        <v>38.400000000000006</v>
      </c>
      <c r="N17">
        <f>N14-N13</f>
        <v>50.989999999999981</v>
      </c>
      <c r="P17">
        <f t="shared" ref="O17:P17" si="1">P14-P13</f>
        <v>42.349999999999994</v>
      </c>
    </row>
    <row r="19" spans="3:16" x14ac:dyDescent="0.5">
      <c r="C19" s="12" t="s">
        <v>3</v>
      </c>
      <c r="D19" s="12"/>
      <c r="E19" s="12"/>
      <c r="F19" s="12"/>
      <c r="G19" s="12"/>
      <c r="H19" s="12"/>
      <c r="K19" s="13" t="s">
        <v>7</v>
      </c>
      <c r="L19" s="13"/>
      <c r="M19" s="13"/>
      <c r="N19" s="13"/>
      <c r="O19" s="13"/>
      <c r="P19" s="13"/>
    </row>
    <row r="20" spans="3:16" x14ac:dyDescent="0.5">
      <c r="C20" s="8"/>
      <c r="D20" s="10"/>
      <c r="E20" s="3" t="s">
        <v>1</v>
      </c>
      <c r="F20" s="3"/>
      <c r="G20" s="3"/>
      <c r="H20" s="3"/>
      <c r="K20" s="8"/>
      <c r="L20" s="10"/>
      <c r="M20" s="3" t="s">
        <v>1</v>
      </c>
      <c r="N20" s="3"/>
      <c r="O20" s="3"/>
      <c r="P20" s="3"/>
    </row>
    <row r="21" spans="3:16" x14ac:dyDescent="0.5">
      <c r="C21" s="9"/>
      <c r="D21" s="11"/>
      <c r="E21" s="7" t="b">
        <v>1</v>
      </c>
      <c r="F21" s="2" t="b">
        <v>0</v>
      </c>
      <c r="G21" s="7" t="b">
        <v>1</v>
      </c>
      <c r="H21" s="2" t="b">
        <v>0</v>
      </c>
      <c r="K21" s="9"/>
      <c r="L21" s="11"/>
      <c r="M21" s="7" t="b">
        <v>1</v>
      </c>
      <c r="N21" s="2" t="b">
        <v>0</v>
      </c>
      <c r="O21" s="7" t="b">
        <v>1</v>
      </c>
      <c r="P21" s="2" t="b">
        <v>0</v>
      </c>
    </row>
    <row r="22" spans="3:16" x14ac:dyDescent="0.5">
      <c r="C22" s="5" t="s">
        <v>0</v>
      </c>
      <c r="D22" s="6" t="b">
        <v>1</v>
      </c>
      <c r="E22" s="14">
        <v>167.07</v>
      </c>
      <c r="F22" s="14">
        <v>192.9</v>
      </c>
      <c r="G22" s="16">
        <v>160.4</v>
      </c>
      <c r="H22" s="16">
        <v>185.5</v>
      </c>
      <c r="K22" s="5" t="s">
        <v>0</v>
      </c>
      <c r="L22" s="6" t="b">
        <v>1</v>
      </c>
      <c r="M22" s="14">
        <v>174.68</v>
      </c>
      <c r="N22" s="14">
        <v>221.71</v>
      </c>
      <c r="O22" s="16">
        <v>167.04</v>
      </c>
      <c r="P22" s="16">
        <v>212.7</v>
      </c>
    </row>
    <row r="23" spans="3:16" x14ac:dyDescent="0.5">
      <c r="C23" s="4"/>
      <c r="D23" s="2" t="b">
        <v>0</v>
      </c>
      <c r="E23" s="14">
        <v>201.35</v>
      </c>
      <c r="F23" s="14">
        <v>239.1</v>
      </c>
      <c r="G23" s="16">
        <v>187.91</v>
      </c>
      <c r="H23" s="16">
        <v>223.2</v>
      </c>
      <c r="K23" s="4"/>
      <c r="L23" s="2" t="b">
        <v>0</v>
      </c>
      <c r="M23" s="14">
        <v>207.62</v>
      </c>
      <c r="N23" s="14">
        <v>272.91000000000003</v>
      </c>
      <c r="O23" s="16">
        <v>193.64</v>
      </c>
      <c r="P23" s="16">
        <v>254.19</v>
      </c>
    </row>
    <row r="24" spans="3:16" x14ac:dyDescent="0.5">
      <c r="E24" s="15" t="s">
        <v>8</v>
      </c>
      <c r="F24" s="15"/>
      <c r="G24" s="1" t="s">
        <v>9</v>
      </c>
      <c r="H24" s="1"/>
      <c r="M24" s="15" t="s">
        <v>8</v>
      </c>
      <c r="N24" s="15"/>
      <c r="O24" s="1" t="s">
        <v>9</v>
      </c>
      <c r="P24" s="1"/>
    </row>
    <row r="26" spans="3:16" x14ac:dyDescent="0.5">
      <c r="F26">
        <f>F23-F22</f>
        <v>46.199999999999989</v>
      </c>
      <c r="H26">
        <f t="shared" ref="G26:H26" si="2">H23-H22</f>
        <v>37.699999999999989</v>
      </c>
      <c r="N26">
        <f>N23-N22</f>
        <v>51.200000000000017</v>
      </c>
      <c r="P26">
        <f t="shared" ref="O26:P26" si="3">P23-P22</f>
        <v>41.490000000000009</v>
      </c>
    </row>
  </sheetData>
  <mergeCells count="25">
    <mergeCell ref="H4:I4"/>
    <mergeCell ref="H3:I3"/>
    <mergeCell ref="B3:F3"/>
    <mergeCell ref="J4:P4"/>
    <mergeCell ref="J3:P3"/>
    <mergeCell ref="E24:F24"/>
    <mergeCell ref="G24:H24"/>
    <mergeCell ref="E20:H20"/>
    <mergeCell ref="C19:H19"/>
    <mergeCell ref="M24:N24"/>
    <mergeCell ref="O24:P24"/>
    <mergeCell ref="M20:P20"/>
    <mergeCell ref="K19:P19"/>
    <mergeCell ref="G15:H15"/>
    <mergeCell ref="E11:H11"/>
    <mergeCell ref="C10:H10"/>
    <mergeCell ref="M15:N15"/>
    <mergeCell ref="O15:P15"/>
    <mergeCell ref="M11:P11"/>
    <mergeCell ref="K10:P10"/>
    <mergeCell ref="K13:K14"/>
    <mergeCell ref="K22:K23"/>
    <mergeCell ref="C13:C14"/>
    <mergeCell ref="C22:C23"/>
    <mergeCell ref="E15:F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1C715-E058-430A-9281-BD371C7CCE7D}">
  <dimension ref="B4:J9"/>
  <sheetViews>
    <sheetView topLeftCell="B1" zoomScale="130" zoomScaleNormal="130" workbookViewId="0">
      <selection activeCell="C11" sqref="C11"/>
    </sheetView>
  </sheetViews>
  <sheetFormatPr defaultRowHeight="14.35" x14ac:dyDescent="0.5"/>
  <cols>
    <col min="1" max="1" width="5.234375" customWidth="1"/>
    <col min="2" max="2" width="22.05859375" customWidth="1"/>
    <col min="3" max="3" width="18.3515625" customWidth="1"/>
    <col min="4" max="4" width="18.87890625" customWidth="1"/>
    <col min="5" max="5" width="47.17578125" customWidth="1"/>
    <col min="6" max="6" width="10.3515625" customWidth="1"/>
    <col min="7" max="7" width="13.46875" customWidth="1"/>
    <col min="8" max="8" width="13.17578125" customWidth="1"/>
    <col min="9" max="9" width="16.1171875" customWidth="1"/>
    <col min="10" max="10" width="19.64453125" customWidth="1"/>
  </cols>
  <sheetData>
    <row r="4" spans="2:10" ht="28.7" x14ac:dyDescent="0.5">
      <c r="B4" s="25"/>
      <c r="C4" s="23" t="s">
        <v>10</v>
      </c>
      <c r="D4" s="21" t="s">
        <v>11</v>
      </c>
      <c r="E4" s="21" t="s">
        <v>40</v>
      </c>
      <c r="F4" s="21" t="s">
        <v>12</v>
      </c>
      <c r="G4" s="21" t="s">
        <v>13</v>
      </c>
      <c r="H4" s="21" t="s">
        <v>14</v>
      </c>
      <c r="I4" s="21" t="s">
        <v>15</v>
      </c>
      <c r="J4" s="21" t="s">
        <v>16</v>
      </c>
    </row>
    <row r="5" spans="2:10" ht="157.69999999999999" x14ac:dyDescent="0.5">
      <c r="B5" s="24" t="s">
        <v>17</v>
      </c>
      <c r="C5" s="18" t="s">
        <v>18</v>
      </c>
      <c r="D5" s="19" t="s">
        <v>38</v>
      </c>
      <c r="E5" s="20" t="s">
        <v>39</v>
      </c>
      <c r="F5" s="20" t="s">
        <v>19</v>
      </c>
      <c r="G5" s="19" t="s">
        <v>20</v>
      </c>
      <c r="H5" s="19" t="s">
        <v>21</v>
      </c>
      <c r="I5" s="19" t="s">
        <v>22</v>
      </c>
      <c r="J5" s="19" t="s">
        <v>23</v>
      </c>
    </row>
    <row r="6" spans="2:10" ht="157.69999999999999" x14ac:dyDescent="0.5">
      <c r="B6" s="22" t="s">
        <v>24</v>
      </c>
      <c r="C6" s="18" t="s">
        <v>25</v>
      </c>
      <c r="D6" s="19" t="s">
        <v>37</v>
      </c>
      <c r="E6" s="20" t="s">
        <v>41</v>
      </c>
      <c r="F6" s="20" t="s">
        <v>26</v>
      </c>
      <c r="G6" s="19" t="s">
        <v>42</v>
      </c>
      <c r="H6" s="19" t="s">
        <v>27</v>
      </c>
      <c r="I6" s="19" t="s">
        <v>28</v>
      </c>
      <c r="J6" s="19" t="s">
        <v>29</v>
      </c>
    </row>
    <row r="7" spans="2:10" ht="57.35" x14ac:dyDescent="0.5">
      <c r="B7" s="22" t="s">
        <v>30</v>
      </c>
      <c r="C7" s="18" t="s">
        <v>31</v>
      </c>
      <c r="D7" s="19" t="s">
        <v>36</v>
      </c>
      <c r="E7" s="17"/>
      <c r="F7" s="20" t="s">
        <v>19</v>
      </c>
      <c r="G7" s="19" t="s">
        <v>32</v>
      </c>
      <c r="H7" s="19" t="s">
        <v>33</v>
      </c>
      <c r="I7" s="19" t="s">
        <v>34</v>
      </c>
      <c r="J7" s="19" t="s">
        <v>35</v>
      </c>
    </row>
    <row r="9" spans="2:10" x14ac:dyDescent="0.5">
      <c r="B9"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5E4D-2E91-44D4-91A2-0AC5D3EE736B}">
  <dimension ref="B3:B43"/>
  <sheetViews>
    <sheetView topLeftCell="A4" workbookViewId="0">
      <selection activeCell="R61" sqref="R61"/>
    </sheetView>
  </sheetViews>
  <sheetFormatPr defaultRowHeight="14.35" x14ac:dyDescent="0.5"/>
  <sheetData>
    <row r="3" spans="2:2" x14ac:dyDescent="0.5">
      <c r="B3" t="s">
        <v>52</v>
      </c>
    </row>
    <row r="37" spans="2:2" x14ac:dyDescent="0.5">
      <c r="B37" t="s">
        <v>53</v>
      </c>
    </row>
    <row r="39" spans="2:2" x14ac:dyDescent="0.5">
      <c r="B39" t="s">
        <v>54</v>
      </c>
    </row>
    <row r="43" spans="2:2" x14ac:dyDescent="0.5">
      <c r="B43" t="s">
        <v>55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3C6A1-D712-4F57-BE30-7EF39726D1FA}">
  <dimension ref="B2:O15"/>
  <sheetViews>
    <sheetView tabSelected="1" zoomScale="120" zoomScaleNormal="120" workbookViewId="0">
      <selection activeCell="N13" sqref="N13:O13"/>
    </sheetView>
  </sheetViews>
  <sheetFormatPr defaultRowHeight="14.35" x14ac:dyDescent="0.5"/>
  <sheetData>
    <row r="2" spans="2:15" x14ac:dyDescent="0.5">
      <c r="B2" t="s">
        <v>57</v>
      </c>
    </row>
    <row r="6" spans="2:15" x14ac:dyDescent="0.5">
      <c r="B6" t="s">
        <v>56</v>
      </c>
      <c r="J6" t="s">
        <v>6</v>
      </c>
    </row>
    <row r="8" spans="2:15" x14ac:dyDescent="0.5">
      <c r="B8" s="12" t="s">
        <v>2</v>
      </c>
      <c r="C8" s="12"/>
      <c r="D8" s="12"/>
      <c r="E8" s="12"/>
      <c r="F8" s="12"/>
      <c r="G8" s="12"/>
      <c r="J8" s="13" t="s">
        <v>5</v>
      </c>
      <c r="K8" s="13"/>
      <c r="L8" s="13"/>
      <c r="M8" s="13"/>
      <c r="N8" s="13"/>
      <c r="O8" s="13"/>
    </row>
    <row r="9" spans="2:15" x14ac:dyDescent="0.5">
      <c r="B9" s="8"/>
      <c r="C9" s="10"/>
      <c r="D9" s="3" t="s">
        <v>1</v>
      </c>
      <c r="E9" s="3"/>
      <c r="F9" s="3"/>
      <c r="G9" s="3"/>
      <c r="J9" s="8"/>
      <c r="K9" s="10"/>
      <c r="L9" s="3" t="s">
        <v>1</v>
      </c>
      <c r="M9" s="3"/>
      <c r="N9" s="3"/>
      <c r="O9" s="3"/>
    </row>
    <row r="10" spans="2:15" x14ac:dyDescent="0.5">
      <c r="B10" s="9"/>
      <c r="C10" s="11"/>
      <c r="D10" s="7" t="b">
        <v>1</v>
      </c>
      <c r="E10" s="2" t="b">
        <v>0</v>
      </c>
      <c r="F10" s="7" t="b">
        <v>1</v>
      </c>
      <c r="G10" s="2" t="b">
        <v>0</v>
      </c>
      <c r="J10" s="9"/>
      <c r="K10" s="11"/>
      <c r="L10" s="7" t="b">
        <v>1</v>
      </c>
      <c r="M10" s="2" t="b">
        <v>0</v>
      </c>
      <c r="N10" s="7" t="b">
        <v>1</v>
      </c>
      <c r="O10" s="2" t="b">
        <v>0</v>
      </c>
    </row>
    <row r="11" spans="2:15" x14ac:dyDescent="0.5">
      <c r="B11" s="5" t="s">
        <v>0</v>
      </c>
      <c r="C11" s="6" t="b">
        <v>1</v>
      </c>
      <c r="D11" s="14">
        <v>168.37</v>
      </c>
      <c r="E11" s="14">
        <v>192.07</v>
      </c>
      <c r="F11" s="16">
        <v>161.37</v>
      </c>
      <c r="G11" s="16">
        <v>184.12</v>
      </c>
      <c r="J11" s="5" t="s">
        <v>0</v>
      </c>
      <c r="K11" s="6" t="b">
        <v>1</v>
      </c>
      <c r="L11" s="14">
        <v>175.13</v>
      </c>
      <c r="M11" s="14">
        <v>216.38</v>
      </c>
      <c r="N11" s="16">
        <v>167.26</v>
      </c>
      <c r="O11" s="16">
        <v>206.76</v>
      </c>
    </row>
    <row r="12" spans="2:15" x14ac:dyDescent="0.5">
      <c r="B12" s="4"/>
      <c r="C12" s="2" t="b">
        <v>0</v>
      </c>
      <c r="D12" s="14">
        <v>202.88</v>
      </c>
      <c r="E12" s="14">
        <v>239.04</v>
      </c>
      <c r="F12" s="16">
        <v>189.6</v>
      </c>
      <c r="G12" s="16">
        <v>223.36</v>
      </c>
      <c r="J12" s="4"/>
      <c r="K12" s="2" t="b">
        <v>0</v>
      </c>
      <c r="L12" s="14">
        <v>208.43</v>
      </c>
      <c r="M12" s="14">
        <v>269.08</v>
      </c>
      <c r="N12" s="16">
        <v>194.59</v>
      </c>
      <c r="O12" s="16">
        <v>250.65</v>
      </c>
    </row>
    <row r="13" spans="2:15" x14ac:dyDescent="0.5">
      <c r="D13" s="15" t="s">
        <v>8</v>
      </c>
      <c r="E13" s="15"/>
      <c r="F13" s="1" t="s">
        <v>9</v>
      </c>
      <c r="G13" s="1"/>
      <c r="L13" s="15" t="s">
        <v>8</v>
      </c>
      <c r="M13" s="15"/>
      <c r="N13" s="1" t="s">
        <v>9</v>
      </c>
      <c r="O13" s="1"/>
    </row>
    <row r="15" spans="2:15" x14ac:dyDescent="0.5">
      <c r="E15">
        <f>E12-E11</f>
        <v>46.97</v>
      </c>
      <c r="G15">
        <f>G12-G11</f>
        <v>39.240000000000009</v>
      </c>
      <c r="M15">
        <f>M12-M11</f>
        <v>52.699999999999989</v>
      </c>
      <c r="O15">
        <f>O12-O11</f>
        <v>43.890000000000015</v>
      </c>
    </row>
  </sheetData>
  <mergeCells count="10">
    <mergeCell ref="D13:E13"/>
    <mergeCell ref="F13:G13"/>
    <mergeCell ref="L13:M13"/>
    <mergeCell ref="N13:O13"/>
    <mergeCell ref="B8:G8"/>
    <mergeCell ref="J8:O8"/>
    <mergeCell ref="D9:G9"/>
    <mergeCell ref="L9:O9"/>
    <mergeCell ref="B11:B12"/>
    <mergeCell ref="J11:J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26D8D3F35263B418304A996E102FEB0" ma:contentTypeVersion="11" ma:contentTypeDescription="Ein neues Dokument erstellen." ma:contentTypeScope="" ma:versionID="c0b0ae54207850d9874171917dac895f">
  <xsd:schema xmlns:xsd="http://www.w3.org/2001/XMLSchema" xmlns:xs="http://www.w3.org/2001/XMLSchema" xmlns:p="http://schemas.microsoft.com/office/2006/metadata/properties" xmlns:ns2="d4119795-8c58-4daf-b8ef-4f05caab01c0" xmlns:ns3="00c94d55-020a-4563-a133-66e3c4276e7d" targetNamespace="http://schemas.microsoft.com/office/2006/metadata/properties" ma:root="true" ma:fieldsID="5871c9b434294b0bea55b9e00a38bd07" ns2:_="" ns3:_="">
    <xsd:import namespace="d4119795-8c58-4daf-b8ef-4f05caab01c0"/>
    <xsd:import namespace="00c94d55-020a-4563-a133-66e3c4276e7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119795-8c58-4daf-b8ef-4f05caab01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6fd43f81-236b-4232-b21d-d76ad57b8a0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c94d55-020a-4563-a133-66e3c4276e7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10a471-6445-4b8f-ae2a-b56bcb741049}" ma:internalName="TaxCatchAll" ma:showField="CatchAllData" ma:web="00c94d55-020a-4563-a133-66e3c4276e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0c94d55-020a-4563-a133-66e3c4276e7d" xsi:nil="true"/>
    <lcf76f155ced4ddcb4097134ff3c332f xmlns="d4119795-8c58-4daf-b8ef-4f05caab01c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BB43DC-5B44-4EBA-AAF4-8CD06DD39811}"/>
</file>

<file path=customXml/itemProps2.xml><?xml version="1.0" encoding="utf-8"?>
<ds:datastoreItem xmlns:ds="http://schemas.openxmlformats.org/officeDocument/2006/customXml" ds:itemID="{3EF61DBA-2743-4EAE-B1A1-B757E84E5D51}"/>
</file>

<file path=customXml/itemProps3.xml><?xml version="1.0" encoding="utf-8"?>
<ds:datastoreItem xmlns:ds="http://schemas.openxmlformats.org/officeDocument/2006/customXml" ds:itemID="{6C5D5054-4FD4-45AD-869C-120AE0C312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Milčetić, Martina</dc:creator>
  <cp:lastModifiedBy>Milčetić, Martina</cp:lastModifiedBy>
  <dcterms:created xsi:type="dcterms:W3CDTF">2025-07-15T09:35:59Z</dcterms:created>
  <dcterms:modified xsi:type="dcterms:W3CDTF">2025-07-16T09:31:41Z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0x010100726D8D3F35263B418304A996E102FEB0</vt:lpwstr>
  </property>
</Properties>
</file>