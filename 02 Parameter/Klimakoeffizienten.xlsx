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ndenergiebedarfe Bereinigter R Code\02 Parameter\"/>
    </mc:Choice>
  </mc:AlternateContent>
  <xr:revisionPtr revIDLastSave="0" documentId="13_ncr:1_{3D3EED95-49E8-4BDD-9EBB-28263EF08170}" xr6:coauthVersionLast="47" xr6:coauthVersionMax="47" xr10:uidLastSave="{00000000-0000-0000-0000-000000000000}"/>
  <bookViews>
    <workbookView xWindow="-120" yWindow="-120" windowWidth="25440" windowHeight="15390" xr2:uid="{B50342D1-A9B5-4CA2-BF13-614B943031C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" l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<sst xmlns="http://schemas.openxmlformats.org/spreadsheetml/2006/main" count="7" uniqueCount="7">
  <si>
    <t>h</t>
  </si>
  <si>
    <r>
      <rPr>
        <b/>
        <sz val="12"/>
        <rFont val="Symbol"/>
        <family val="1"/>
        <charset val="2"/>
      </rPr>
      <t>J</t>
    </r>
    <r>
      <rPr>
        <b/>
        <vertAlign val="subscript"/>
        <sz val="12"/>
        <rFont val="Calibri"/>
        <family val="2"/>
      </rPr>
      <t>HG,int.</t>
    </r>
  </si>
  <si>
    <r>
      <t>t</t>
    </r>
    <r>
      <rPr>
        <b/>
        <vertAlign val="subscript"/>
        <sz val="12"/>
        <rFont val="Calibri"/>
        <family val="2"/>
      </rPr>
      <t>HP</t>
    </r>
  </si>
  <si>
    <r>
      <t>f</t>
    </r>
    <r>
      <rPr>
        <b/>
        <vertAlign val="subscript"/>
        <sz val="12"/>
        <color theme="1"/>
        <rFont val="Calibri"/>
        <family val="2"/>
      </rPr>
      <t>HP</t>
    </r>
  </si>
  <si>
    <r>
      <rPr>
        <b/>
        <sz val="12"/>
        <rFont val="Symbol"/>
        <family val="1"/>
        <charset val="2"/>
      </rPr>
      <t>J</t>
    </r>
    <r>
      <rPr>
        <b/>
        <vertAlign val="subscript"/>
        <sz val="12"/>
        <rFont val="Calibri"/>
        <family val="2"/>
      </rPr>
      <t>e</t>
    </r>
  </si>
  <si>
    <r>
      <rPr>
        <b/>
        <sz val="12"/>
        <rFont val="Symbol"/>
        <family val="1"/>
        <charset val="2"/>
      </rPr>
      <t>J</t>
    </r>
    <r>
      <rPr>
        <b/>
        <vertAlign val="subscript"/>
        <sz val="12"/>
        <rFont val="Calibri"/>
        <family val="2"/>
      </rPr>
      <t>Strahlung</t>
    </r>
  </si>
  <si>
    <t>Klimakoeffizienten in Abhaengigkeit des energetischen Gebaeudestandards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</si>
</sst>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0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Times New Roman"/>
      <family val="1"/>
    </font>
    <font>
      <b/>
      <sz val="12"/>
      <name val="Calibri"/>
      <family val="2"/>
      <charset val="2"/>
    </font>
    <font>
      <b/>
      <sz val="12"/>
      <name val="Symbol"/>
      <family val="1"/>
      <charset val="2"/>
    </font>
    <font>
      <b/>
      <vertAlign val="subscript"/>
      <sz val="12"/>
      <name val="Calibri"/>
      <family val="2"/>
    </font>
    <font>
      <sz val="12"/>
      <name val="Calibri"/>
      <family val="2"/>
      <scheme val="minor"/>
    </font>
    <font>
      <b/>
      <vertAlign val="subscript"/>
      <sz val="12"/>
      <color theme="1"/>
      <name val="Calibri"/>
      <family val="2"/>
    </font>
    <font>
      <b/>
      <i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tted">
        <color indexed="22"/>
      </top>
      <bottom style="dotted">
        <color indexed="22"/>
      </bottom>
      <diagonal/>
    </border>
    <border>
      <left style="medium">
        <color indexed="64"/>
      </left>
      <right/>
      <top style="dotted">
        <color indexed="2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  <xf numFmtId="0" fontId="4" fillId="2" borderId="4" xfId="1" applyFont="1" applyFill="1" applyBorder="1" applyAlignment="1">
      <alignment horizontal="left" vertical="center" wrapText="1"/>
    </xf>
    <xf numFmtId="0" fontId="0" fillId="0" borderId="5" xfId="0" applyBorder="1"/>
    <xf numFmtId="0" fontId="1" fillId="2" borderId="6" xfId="0" applyFont="1" applyFill="1" applyBorder="1" applyAlignment="1">
      <alignment horizontal="left" vertical="center"/>
    </xf>
    <xf numFmtId="0" fontId="0" fillId="0" borderId="0" xfId="0" applyAlignment="1">
      <alignment horizontal="right" vertical="top" wrapText="1"/>
    </xf>
    <xf numFmtId="1" fontId="7" fillId="0" borderId="0" xfId="1" applyNumberFormat="1" applyFont="1" applyAlignment="1">
      <alignment horizontal="right" vertical="center"/>
    </xf>
    <xf numFmtId="0" fontId="0" fillId="0" borderId="5" xfId="0" applyBorder="1" applyAlignment="1">
      <alignment horizontal="right" vertical="top" wrapText="1"/>
    </xf>
    <xf numFmtId="0" fontId="4" fillId="2" borderId="6" xfId="0" applyFont="1" applyFill="1" applyBorder="1" applyAlignment="1">
      <alignment horizontal="left" vertical="center"/>
    </xf>
    <xf numFmtId="164" fontId="7" fillId="0" borderId="0" xfId="1" applyNumberFormat="1" applyFont="1" applyAlignment="1">
      <alignment horizontal="right" vertical="center"/>
    </xf>
    <xf numFmtId="0" fontId="4" fillId="2" borderId="7" xfId="0" applyFont="1" applyFill="1" applyBorder="1" applyAlignment="1">
      <alignment horizontal="left" vertical="center"/>
    </xf>
    <xf numFmtId="0" fontId="0" fillId="0" borderId="8" xfId="0" applyBorder="1" applyAlignment="1">
      <alignment horizontal="right" vertical="top" wrapText="1"/>
    </xf>
    <xf numFmtId="165" fontId="7" fillId="0" borderId="8" xfId="1" applyNumberFormat="1" applyFont="1" applyBorder="1" applyAlignment="1">
      <alignment horizontal="right" vertical="center"/>
    </xf>
    <xf numFmtId="0" fontId="0" fillId="0" borderId="9" xfId="0" applyBorder="1" applyAlignment="1">
      <alignment horizontal="right" vertical="top" wrapText="1"/>
    </xf>
    <xf numFmtId="0" fontId="9" fillId="0" borderId="0" xfId="0" applyFont="1" applyAlignment="1">
      <alignment horizontal="left" vertical="top"/>
    </xf>
  </cellXfs>
  <cellStyles count="2">
    <cellStyle name="Standard" xfId="0" builtinId="0"/>
    <cellStyle name="Standard_dena Energiepass Arbeitshilfe - Berechnung und Tabellen" xfId="1" xr:uid="{38708D72-169D-4FA8-9EF6-B2B6646C81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9175-736D-4FA3-94E7-E78C6CFBF69D}">
  <dimension ref="A1:Y8"/>
  <sheetViews>
    <sheetView tabSelected="1" workbookViewId="0">
      <selection activeCell="C17" sqref="C17"/>
    </sheetView>
  </sheetViews>
  <sheetFormatPr baseColWidth="10" defaultRowHeight="15"/>
  <sheetData>
    <row r="1" spans="1:25" ht="15.75">
      <c r="A1" s="16" t="s">
        <v>6</v>
      </c>
    </row>
    <row r="2" spans="1:25" ht="15.75" thickBot="1"/>
    <row r="3" spans="1:25" ht="15.75">
      <c r="A3" s="1" t="s">
        <v>0</v>
      </c>
      <c r="B3" s="2">
        <v>0.7</v>
      </c>
      <c r="C3" s="2">
        <v>0.8</v>
      </c>
      <c r="D3" s="2">
        <v>0.9</v>
      </c>
      <c r="E3" s="2">
        <v>1</v>
      </c>
      <c r="F3" s="2">
        <v>1.1000000000000001</v>
      </c>
      <c r="G3" s="2">
        <v>1.2</v>
      </c>
      <c r="H3" s="2">
        <v>1.3</v>
      </c>
      <c r="I3" s="2">
        <v>1.4</v>
      </c>
      <c r="J3" s="2">
        <v>1.5</v>
      </c>
      <c r="K3" s="2">
        <v>1.6</v>
      </c>
      <c r="L3" s="2">
        <v>1.7</v>
      </c>
      <c r="M3" s="2">
        <v>1.8</v>
      </c>
      <c r="N3" s="2">
        <v>1.9</v>
      </c>
      <c r="O3" s="2">
        <v>2</v>
      </c>
      <c r="P3" s="2">
        <v>2.1</v>
      </c>
      <c r="Q3" s="2">
        <v>2.2000000000000002</v>
      </c>
      <c r="R3" s="2">
        <v>2.2999999999999998</v>
      </c>
      <c r="S3" s="2">
        <v>2.4</v>
      </c>
      <c r="T3" s="2">
        <v>2.5</v>
      </c>
      <c r="U3" s="2">
        <v>2.6</v>
      </c>
      <c r="V3" s="2">
        <v>2.7</v>
      </c>
      <c r="W3" s="2">
        <v>2.8</v>
      </c>
      <c r="X3" s="2">
        <v>2.9</v>
      </c>
      <c r="Y3" s="3">
        <v>3</v>
      </c>
    </row>
    <row r="4" spans="1:25" ht="18.75">
      <c r="A4" s="4" t="s">
        <v>1</v>
      </c>
      <c r="B4">
        <v>10</v>
      </c>
      <c r="C4">
        <v>10.25</v>
      </c>
      <c r="D4">
        <v>10.5</v>
      </c>
      <c r="E4">
        <v>10.75</v>
      </c>
      <c r="F4">
        <v>11</v>
      </c>
      <c r="G4">
        <v>11.25</v>
      </c>
      <c r="H4">
        <v>11.5</v>
      </c>
      <c r="I4">
        <v>11.75</v>
      </c>
      <c r="J4">
        <v>12</v>
      </c>
      <c r="K4">
        <v>12.2</v>
      </c>
      <c r="L4">
        <v>12.4</v>
      </c>
      <c r="M4">
        <v>12.6</v>
      </c>
      <c r="N4">
        <v>12.8</v>
      </c>
      <c r="O4">
        <v>13</v>
      </c>
      <c r="P4">
        <v>13.2</v>
      </c>
      <c r="Q4">
        <v>13.4</v>
      </c>
      <c r="R4">
        <v>13.6</v>
      </c>
      <c r="S4">
        <v>13.8</v>
      </c>
      <c r="T4">
        <v>14</v>
      </c>
      <c r="U4">
        <v>14.2</v>
      </c>
      <c r="V4">
        <v>14.4</v>
      </c>
      <c r="W4">
        <v>14.6</v>
      </c>
      <c r="X4">
        <v>14.8</v>
      </c>
      <c r="Y4" s="5">
        <v>15</v>
      </c>
    </row>
    <row r="5" spans="1:25" ht="18.75">
      <c r="A5" s="6" t="s">
        <v>2</v>
      </c>
      <c r="B5" s="7">
        <v>207</v>
      </c>
      <c r="C5" s="7">
        <v>212</v>
      </c>
      <c r="D5" s="7">
        <v>217</v>
      </c>
      <c r="E5" s="7">
        <v>222</v>
      </c>
      <c r="F5" s="7">
        <v>227</v>
      </c>
      <c r="G5" s="7">
        <v>232</v>
      </c>
      <c r="H5" s="7">
        <v>237</v>
      </c>
      <c r="I5" s="7">
        <v>242</v>
      </c>
      <c r="J5" s="7">
        <v>247</v>
      </c>
      <c r="K5" s="7">
        <v>251</v>
      </c>
      <c r="L5" s="8">
        <v>255</v>
      </c>
      <c r="M5" s="7">
        <v>259</v>
      </c>
      <c r="N5" s="7">
        <v>263</v>
      </c>
      <c r="O5" s="8">
        <v>267</v>
      </c>
      <c r="P5" s="7">
        <v>271</v>
      </c>
      <c r="Q5" s="7">
        <v>275</v>
      </c>
      <c r="R5" s="8">
        <v>279</v>
      </c>
      <c r="S5" s="7">
        <v>283</v>
      </c>
      <c r="T5" s="7">
        <v>287</v>
      </c>
      <c r="U5" s="8">
        <v>291</v>
      </c>
      <c r="V5" s="7">
        <v>295</v>
      </c>
      <c r="W5" s="7">
        <v>299</v>
      </c>
      <c r="X5" s="8">
        <v>303</v>
      </c>
      <c r="Y5" s="9">
        <v>307</v>
      </c>
    </row>
    <row r="6" spans="1:25" ht="18.75">
      <c r="A6" s="6" t="s">
        <v>3</v>
      </c>
      <c r="B6" s="7">
        <f>275/B5</f>
        <v>1.3285024154589371</v>
      </c>
      <c r="C6" s="7">
        <f>275/C5</f>
        <v>1.2971698113207548</v>
      </c>
      <c r="D6" s="7">
        <f t="shared" ref="D6:Y6" si="0">275/D5</f>
        <v>1.2672811059907834</v>
      </c>
      <c r="E6" s="7">
        <f t="shared" si="0"/>
        <v>1.2387387387387387</v>
      </c>
      <c r="F6" s="7">
        <f t="shared" si="0"/>
        <v>1.2114537444933922</v>
      </c>
      <c r="G6" s="7">
        <f t="shared" si="0"/>
        <v>1.1853448275862069</v>
      </c>
      <c r="H6" s="7">
        <f t="shared" si="0"/>
        <v>1.1603375527426161</v>
      </c>
      <c r="I6" s="7">
        <f t="shared" si="0"/>
        <v>1.1363636363636365</v>
      </c>
      <c r="J6" s="7">
        <f t="shared" si="0"/>
        <v>1.1133603238866396</v>
      </c>
      <c r="K6" s="7">
        <f t="shared" si="0"/>
        <v>1.095617529880478</v>
      </c>
      <c r="L6" s="7">
        <f t="shared" si="0"/>
        <v>1.0784313725490196</v>
      </c>
      <c r="M6" s="7">
        <f t="shared" si="0"/>
        <v>1.0617760617760619</v>
      </c>
      <c r="N6" s="7">
        <f t="shared" si="0"/>
        <v>1.0456273764258555</v>
      </c>
      <c r="O6" s="7">
        <f t="shared" si="0"/>
        <v>1.0299625468164795</v>
      </c>
      <c r="P6" s="7">
        <f t="shared" si="0"/>
        <v>1.014760147601476</v>
      </c>
      <c r="Q6" s="7">
        <f t="shared" si="0"/>
        <v>1</v>
      </c>
      <c r="R6" s="7">
        <f t="shared" si="0"/>
        <v>0.98566308243727596</v>
      </c>
      <c r="S6" s="7">
        <f t="shared" si="0"/>
        <v>0.9717314487632509</v>
      </c>
      <c r="T6" s="7">
        <f t="shared" si="0"/>
        <v>0.95818815331010454</v>
      </c>
      <c r="U6" s="7">
        <f t="shared" si="0"/>
        <v>0.94501718213058417</v>
      </c>
      <c r="V6" s="7">
        <f t="shared" si="0"/>
        <v>0.93220338983050843</v>
      </c>
      <c r="W6" s="7">
        <f t="shared" si="0"/>
        <v>0.91973244147157196</v>
      </c>
      <c r="X6" s="7">
        <f t="shared" si="0"/>
        <v>0.90759075907590758</v>
      </c>
      <c r="Y6" s="7">
        <f t="shared" si="0"/>
        <v>0.89576547231270354</v>
      </c>
    </row>
    <row r="7" spans="1:25" ht="18.75">
      <c r="A7" s="10" t="s">
        <v>4</v>
      </c>
      <c r="B7" s="7">
        <v>3.7164999999999999</v>
      </c>
      <c r="C7" s="7">
        <v>3.8757000000000001</v>
      </c>
      <c r="D7" s="7">
        <v>4.0350000000000001</v>
      </c>
      <c r="E7" s="7">
        <v>4.1942333333333304</v>
      </c>
      <c r="F7" s="7">
        <v>4.3534833333333296</v>
      </c>
      <c r="G7" s="7">
        <v>4.5127333333333297</v>
      </c>
      <c r="H7" s="7">
        <v>4.6719833333333298</v>
      </c>
      <c r="I7" s="7">
        <v>4.8312333333333299</v>
      </c>
      <c r="J7" s="7">
        <v>4.9903450692581615</v>
      </c>
      <c r="K7" s="7">
        <v>5.1177306322691454</v>
      </c>
      <c r="L7" s="11">
        <v>5.2451161952801302</v>
      </c>
      <c r="M7" s="7">
        <v>5.3725017582911097</v>
      </c>
      <c r="N7" s="7">
        <v>5.4998873213020998</v>
      </c>
      <c r="O7" s="11">
        <v>5.6272728843130801</v>
      </c>
      <c r="P7" s="7">
        <v>5.7546584473240596</v>
      </c>
      <c r="Q7" s="7">
        <v>5.8820440103350498</v>
      </c>
      <c r="R7" s="11">
        <v>6.0094295733460301</v>
      </c>
      <c r="S7" s="7">
        <v>6.1368151363570203</v>
      </c>
      <c r="T7" s="7">
        <v>6.2642006993679997</v>
      </c>
      <c r="U7" s="11">
        <v>6.3915862623789801</v>
      </c>
      <c r="V7" s="7">
        <v>6.5189718253899702</v>
      </c>
      <c r="W7" s="7">
        <v>6.6463573884009497</v>
      </c>
      <c r="X7" s="11">
        <v>6.7737429514119301</v>
      </c>
      <c r="Y7" s="9">
        <v>6.9011285144229202</v>
      </c>
    </row>
    <row r="8" spans="1:25" ht="19.5" thickBot="1">
      <c r="A8" s="12" t="s">
        <v>5</v>
      </c>
      <c r="B8" s="13">
        <v>214.577</v>
      </c>
      <c r="C8" s="13">
        <v>227.89099999999999</v>
      </c>
      <c r="D8" s="13">
        <v>241.20400000000001</v>
      </c>
      <c r="E8" s="13">
        <v>254.517666666667</v>
      </c>
      <c r="F8" s="13">
        <v>267.831166666667</v>
      </c>
      <c r="G8" s="13">
        <v>281.14466666666698</v>
      </c>
      <c r="H8" s="13">
        <v>294.45816666666701</v>
      </c>
      <c r="I8" s="13">
        <v>307.77166666666699</v>
      </c>
      <c r="J8" s="13">
        <v>321.0870163934427</v>
      </c>
      <c r="K8" s="13">
        <v>331.7380327868853</v>
      </c>
      <c r="L8" s="14">
        <v>342.38904918032796</v>
      </c>
      <c r="M8" s="13">
        <v>353.04006557377102</v>
      </c>
      <c r="N8" s="13">
        <v>363.69108196721299</v>
      </c>
      <c r="O8" s="14">
        <v>374.342098360656</v>
      </c>
      <c r="P8" s="13">
        <v>384.99311475409797</v>
      </c>
      <c r="Q8" s="13">
        <v>395.64413114754097</v>
      </c>
      <c r="R8" s="14">
        <v>406.29514754098398</v>
      </c>
      <c r="S8" s="13">
        <v>416.94616393442601</v>
      </c>
      <c r="T8" s="13">
        <v>427.59718032786901</v>
      </c>
      <c r="U8" s="14">
        <v>438.24819672131201</v>
      </c>
      <c r="V8" s="13">
        <v>448.89921311475399</v>
      </c>
      <c r="W8" s="13">
        <v>459.55022950819699</v>
      </c>
      <c r="X8" s="14">
        <v>470.20124590163903</v>
      </c>
      <c r="Y8" s="15">
        <v>480.85226229508203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6D8D3F35263B418304A996E102FEB0" ma:contentTypeVersion="11" ma:contentTypeDescription="Create a new document." ma:contentTypeScope="" ma:versionID="8255800dd5ed1ea6881b1762396f92b1">
  <xsd:schema xmlns:xsd="http://www.w3.org/2001/XMLSchema" xmlns:xs="http://www.w3.org/2001/XMLSchema" xmlns:p="http://schemas.microsoft.com/office/2006/metadata/properties" xmlns:ns2="d4119795-8c58-4daf-b8ef-4f05caab01c0" xmlns:ns3="00c94d55-020a-4563-a133-66e3c4276e7d" targetNamespace="http://schemas.microsoft.com/office/2006/metadata/properties" ma:root="true" ma:fieldsID="ab7dde2c836e737e71c807c2d1c18a00" ns2:_="" ns3:_="">
    <xsd:import namespace="d4119795-8c58-4daf-b8ef-4f05caab01c0"/>
    <xsd:import namespace="00c94d55-020a-4563-a133-66e3c4276e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19795-8c58-4daf-b8ef-4f05caab01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fd43f81-236b-4232-b21d-d76ad57b8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94d55-020a-4563-a133-66e3c4276e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10a471-6445-4b8f-ae2a-b56bcb741049}" ma:internalName="TaxCatchAll" ma:showField="CatchAllData" ma:web="00c94d55-020a-4563-a133-66e3c4276e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c94d55-020a-4563-a133-66e3c4276e7d" xsi:nil="true"/>
    <lcf76f155ced4ddcb4097134ff3c332f xmlns="d4119795-8c58-4daf-b8ef-4f05caab01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13707-5DF4-47D6-AA02-E7A4B453629F}"/>
</file>

<file path=customXml/itemProps2.xml><?xml version="1.0" encoding="utf-8"?>
<ds:datastoreItem xmlns:ds="http://schemas.openxmlformats.org/officeDocument/2006/customXml" ds:itemID="{4F2EA957-557F-498F-BD31-D26B18201703}"/>
</file>

<file path=customXml/itemProps3.xml><?xml version="1.0" encoding="utf-8"?>
<ds:datastoreItem xmlns:ds="http://schemas.openxmlformats.org/officeDocument/2006/customXml" ds:itemID="{1315CC16-028A-4B00-9E3C-3E0F22F352D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Ladwig, Rene</dc:creator>
  <cp:lastModifiedBy>Ladwig, Rene</cp:lastModifiedBy>
  <dcterms:created xsi:type="dcterms:W3CDTF">2023-03-03T07:51:44Z</dcterms:created>
  <dcterms:modified xsi:type="dcterms:W3CDTF">2023-03-14T09:26:52Z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0x010100726D8D3F35263B418304A996E102FEB0</vt:lpwstr>
  </property>
</Properties>
</file>